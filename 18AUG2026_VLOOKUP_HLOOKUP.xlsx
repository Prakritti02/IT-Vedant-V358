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MAIN_FOLDER_IT_VEDANT\"/>
    </mc:Choice>
  </mc:AlternateContent>
  <xr:revisionPtr revIDLastSave="0" documentId="8_{75A2A139-E14F-4A7E-A657-4DD495269B29}" xr6:coauthVersionLast="47" xr6:coauthVersionMax="47" xr10:uidLastSave="{00000000-0000-0000-0000-000000000000}"/>
  <bookViews>
    <workbookView xWindow="-110" yWindow="-110" windowWidth="19420" windowHeight="11020" xr2:uid="{80A2D1DF-9025-4F9A-841F-E1BCCFD46CBB}"/>
  </bookViews>
  <sheets>
    <sheet name="Vlookup" sheetId="1" r:id="rId1"/>
    <sheet name="Hlookup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2" l="1"/>
  <c r="D13" i="2"/>
  <c r="D14" i="2"/>
  <c r="D15" i="2"/>
  <c r="D16" i="2"/>
  <c r="D17" i="2"/>
  <c r="D18" i="2"/>
  <c r="D11" i="2"/>
  <c r="J18" i="1"/>
  <c r="J19" i="1"/>
  <c r="J20" i="1"/>
  <c r="J17" i="1"/>
  <c r="J16" i="1"/>
  <c r="K7" i="1"/>
  <c r="K8" i="1"/>
  <c r="K9" i="1"/>
  <c r="K10" i="1"/>
  <c r="K11" i="1"/>
  <c r="K6" i="1"/>
  <c r="J10" i="1"/>
  <c r="J11" i="1"/>
  <c r="J7" i="1"/>
  <c r="J8" i="1"/>
  <c r="J9" i="1"/>
  <c r="J6" i="1"/>
</calcChain>
</file>

<file path=xl/sharedStrings.xml><?xml version="1.0" encoding="utf-8"?>
<sst xmlns="http://schemas.openxmlformats.org/spreadsheetml/2006/main" count="61" uniqueCount="19">
  <si>
    <t>Name</t>
  </si>
  <si>
    <t>Employee ID</t>
  </si>
  <si>
    <t>Bonus</t>
  </si>
  <si>
    <t>Salary</t>
  </si>
  <si>
    <t>Rajat L</t>
  </si>
  <si>
    <t>Namit J</t>
  </si>
  <si>
    <t>Kriya V</t>
  </si>
  <si>
    <t>Mohd Y</t>
  </si>
  <si>
    <t>Lokesh R</t>
  </si>
  <si>
    <t>Chris G</t>
  </si>
  <si>
    <t>Neha A</t>
  </si>
  <si>
    <t>Rakesh B</t>
  </si>
  <si>
    <t>Santosh B</t>
  </si>
  <si>
    <t>Vikas C</t>
  </si>
  <si>
    <t>Vivek D</t>
  </si>
  <si>
    <t>Bharat G</t>
  </si>
  <si>
    <t>Nilesh S</t>
  </si>
  <si>
    <t>Hlookup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</si>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</sst>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"/>
    <numFmt numFmtId="165" formatCode="&quot;₹&quot;\ #,##0.00"/>
    <numFmt numFmtId="166" formatCode="&quot;₹&quot;\ #,##0.0"/>
  </numFmts>
  <fonts count="3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/>
    <xf numFmtId="166" fontId="0" fillId="0" borderId="0" xfId="0" applyNumberFormat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5F70-740C-4AA9-BD80-A0DECEE1CDF0}">
  <dimension ref="C5:K36"/>
  <sheetViews>
    <sheetView showGridLines="0" tabSelected="1" topLeftCell="A2" zoomScale="63" zoomScaleNormal="145" workbookViewId="0">
      <selection activeCell="H35" sqref="H35"/>
    </sheetView>
  </sheetViews>
  <sheetFormatPr defaultRowHeight="14.5" x14ac:dyDescent="0.35"/>
  <cols>
    <col min="4" max="4" width="12.08984375" bestFit="1" customWidth="1"/>
    <col min="5" max="6" width="9.90625" bestFit="1" customWidth="1"/>
  </cols>
  <sheetData>
    <row r="5" spans="3:11" x14ac:dyDescent="0.35">
      <c r="C5" s="1" t="s">
        <v>0</v>
      </c>
      <c r="D5" s="4" t="s">
        <v>1</v>
      </c>
      <c r="E5" s="4" t="s">
        <v>3</v>
      </c>
      <c r="F5" s="4" t="s">
        <v>2</v>
      </c>
      <c r="I5" s="1" t="s">
        <v>0</v>
      </c>
      <c r="J5" s="1" t="s">
        <v>2</v>
      </c>
      <c r="K5" s="10" t="s">
        <v>3</v>
      </c>
    </row>
    <row r="6" spans="3:11" x14ac:dyDescent="0.35">
      <c r="C6" t="s">
        <v>4</v>
      </c>
      <c r="D6" s="3">
        <v>1190</v>
      </c>
      <c r="E6" s="5">
        <v>919738</v>
      </c>
      <c r="F6" s="5">
        <v>206941.05000000002</v>
      </c>
      <c r="I6" t="s">
        <v>6</v>
      </c>
      <c r="J6">
        <f>VLOOKUP(I6,$C$6:$F$18,4,FALSE)</f>
        <v>218315.7</v>
      </c>
      <c r="K6">
        <f>VLOOKUP(I6,$C$6:$F$18,3,FALSE)</f>
        <v>970292</v>
      </c>
    </row>
    <row r="7" spans="3:11" x14ac:dyDescent="0.35">
      <c r="C7" t="s">
        <v>5</v>
      </c>
      <c r="D7" s="3">
        <v>1334</v>
      </c>
      <c r="E7" s="5">
        <v>868450</v>
      </c>
      <c r="F7" s="5">
        <v>195401.25</v>
      </c>
      <c r="I7" t="s">
        <v>10</v>
      </c>
      <c r="J7">
        <f>VLOOKUP(I7,$C$6:$F$18,4,FALSE)</f>
        <v>168189.97500000001</v>
      </c>
      <c r="K7">
        <f t="shared" ref="K7:K11" si="0">VLOOKUP(I7,$C$6:$F$18,3,FALSE)</f>
        <v>747511</v>
      </c>
    </row>
    <row r="8" spans="3:11" x14ac:dyDescent="0.35">
      <c r="C8" t="s">
        <v>6</v>
      </c>
      <c r="D8" s="3">
        <v>1631</v>
      </c>
      <c r="E8" s="5">
        <v>970292</v>
      </c>
      <c r="F8" s="5">
        <v>218315.7</v>
      </c>
      <c r="I8" t="s">
        <v>16</v>
      </c>
      <c r="J8">
        <f>VLOOKUP(I8,$C$6:$F$18,4,FALSE)</f>
        <v>159665.4</v>
      </c>
      <c r="K8">
        <f t="shared" si="0"/>
        <v>709624</v>
      </c>
    </row>
    <row r="9" spans="3:11" x14ac:dyDescent="0.35">
      <c r="C9" t="s">
        <v>7</v>
      </c>
      <c r="D9" s="3">
        <v>1163</v>
      </c>
      <c r="E9" s="5">
        <v>974125</v>
      </c>
      <c r="F9" s="5">
        <v>219178.125</v>
      </c>
      <c r="I9" t="s">
        <v>8</v>
      </c>
      <c r="J9">
        <f>VLOOKUP(I9,$C$6:$F$18,4,FALSE)</f>
        <v>223894.35</v>
      </c>
      <c r="K9">
        <f t="shared" si="0"/>
        <v>995086</v>
      </c>
    </row>
    <row r="10" spans="3:11" x14ac:dyDescent="0.35">
      <c r="C10" t="s">
        <v>8</v>
      </c>
      <c r="D10" s="3">
        <v>1454</v>
      </c>
      <c r="E10" s="5">
        <v>995086</v>
      </c>
      <c r="F10" s="5">
        <v>223894.35</v>
      </c>
      <c r="I10" t="s">
        <v>7</v>
      </c>
      <c r="J10">
        <f>VLOOKUP(I10,$C$6:$F$18,4,FALSE)</f>
        <v>219178.125</v>
      </c>
      <c r="K10">
        <f t="shared" si="0"/>
        <v>974125</v>
      </c>
    </row>
    <row r="11" spans="3:11" x14ac:dyDescent="0.35">
      <c r="C11" t="s">
        <v>9</v>
      </c>
      <c r="D11" s="3">
        <v>1263</v>
      </c>
      <c r="E11" s="5">
        <v>996563</v>
      </c>
      <c r="F11" s="5">
        <v>224226.67500000002</v>
      </c>
      <c r="I11" t="s">
        <v>13</v>
      </c>
      <c r="J11">
        <f>VLOOKUP(I11,$C$6:$F$18,4,FALSE)</f>
        <v>206547.07500000001</v>
      </c>
      <c r="K11">
        <f t="shared" si="0"/>
        <v>917987</v>
      </c>
    </row>
    <row r="12" spans="3:11" x14ac:dyDescent="0.35">
      <c r="C12" t="s">
        <v>10</v>
      </c>
      <c r="D12" s="3">
        <v>1767</v>
      </c>
      <c r="E12" s="5">
        <v>747511</v>
      </c>
      <c r="F12" s="5">
        <v>168189.97500000001</v>
      </c>
    </row>
    <row r="13" spans="3:11" x14ac:dyDescent="0.35">
      <c r="C13" t="s">
        <v>11</v>
      </c>
      <c r="D13" s="3">
        <v>1666</v>
      </c>
      <c r="E13" s="5">
        <v>735280</v>
      </c>
      <c r="F13" s="5">
        <v>165438</v>
      </c>
    </row>
    <row r="14" spans="3:11" x14ac:dyDescent="0.35">
      <c r="C14" t="s">
        <v>12</v>
      </c>
      <c r="D14" s="3">
        <v>1255</v>
      </c>
      <c r="E14" s="5">
        <v>764439</v>
      </c>
      <c r="F14" s="5">
        <v>171998.77499999999</v>
      </c>
    </row>
    <row r="15" spans="3:11" x14ac:dyDescent="0.35">
      <c r="C15" t="s">
        <v>13</v>
      </c>
      <c r="D15" s="3">
        <v>1352</v>
      </c>
      <c r="E15" s="5">
        <v>917987</v>
      </c>
      <c r="F15" s="5">
        <v>206547.07500000001</v>
      </c>
      <c r="I15" s="8" t="s">
        <v>0</v>
      </c>
      <c r="J15" s="8" t="s">
        <v>1</v>
      </c>
    </row>
    <row r="16" spans="3:11" x14ac:dyDescent="0.35">
      <c r="C16" t="s">
        <v>14</v>
      </c>
      <c r="D16" s="3">
        <v>1512</v>
      </c>
      <c r="E16" s="5">
        <v>778095</v>
      </c>
      <c r="F16" s="5">
        <v>175071.375</v>
      </c>
      <c r="I16" t="s">
        <v>4</v>
      </c>
      <c r="J16">
        <f>VLOOKUP(I16,$C$6:$F$18,MATCH(J$15,$C$5:$F$5,0),FALSE)</f>
        <v>1190</v>
      </c>
      <c r="K16" t="s">
        <v>18</v>
      </c>
    </row>
    <row r="17" spans="3:10" x14ac:dyDescent="0.35">
      <c r="C17" t="s">
        <v>15</v>
      </c>
      <c r="D17" s="3">
        <v>1120</v>
      </c>
      <c r="E17" s="5">
        <v>963652</v>
      </c>
      <c r="F17" s="5">
        <v>216821.7</v>
      </c>
      <c r="I17" t="s">
        <v>5</v>
      </c>
      <c r="J17">
        <f>VLOOKUP(I17,$C$6:$F$18,MATCH(J$15,$C$5:$F$5,0),FALSE)</f>
        <v>1334</v>
      </c>
    </row>
    <row r="18" spans="3:10" x14ac:dyDescent="0.35">
      <c r="C18" t="s">
        <v>16</v>
      </c>
      <c r="D18" s="3">
        <v>1927</v>
      </c>
      <c r="E18" s="5">
        <v>709624</v>
      </c>
      <c r="F18" s="5">
        <v>159665.4</v>
      </c>
      <c r="H18" s="2"/>
      <c r="I18" t="s">
        <v>6</v>
      </c>
      <c r="J18">
        <f t="shared" ref="J18:J20" si="1">VLOOKUP(I18,$C$6:$F$18,MATCH(J$15,$C$5:$F$5,0),FALSE)</f>
        <v>1631</v>
      </c>
    </row>
    <row r="19" spans="3:10" x14ac:dyDescent="0.35">
      <c r="I19" t="s">
        <v>16</v>
      </c>
      <c r="J19">
        <f t="shared" si="1"/>
        <v>1927</v>
      </c>
    </row>
    <row r="20" spans="3:10" x14ac:dyDescent="0.35">
      <c r="I20" t="s">
        <v>9</v>
      </c>
      <c r="J20">
        <f t="shared" si="1"/>
        <v>1263</v>
      </c>
    </row>
    <row r="23" spans="3:10" x14ac:dyDescent="0.35">
      <c r="C23" s="1"/>
      <c r="D23" s="4"/>
      <c r="E23" s="4"/>
      <c r="F23" s="4"/>
    </row>
    <row r="24" spans="3:10" x14ac:dyDescent="0.35">
      <c r="D24" s="3"/>
      <c r="E24" s="5"/>
      <c r="F24" s="5"/>
    </row>
    <row r="25" spans="3:10" x14ac:dyDescent="0.35">
      <c r="D25" s="3"/>
      <c r="E25" s="5"/>
      <c r="F25" s="5"/>
    </row>
    <row r="26" spans="3:10" x14ac:dyDescent="0.35">
      <c r="D26" s="3"/>
      <c r="E26" s="5"/>
      <c r="F26" s="5"/>
    </row>
    <row r="27" spans="3:10" x14ac:dyDescent="0.35">
      <c r="D27" s="3"/>
      <c r="E27" s="5"/>
      <c r="F27" s="5"/>
    </row>
    <row r="28" spans="3:10" x14ac:dyDescent="0.35">
      <c r="D28" s="3"/>
      <c r="E28" s="5"/>
      <c r="F28" s="5"/>
    </row>
    <row r="29" spans="3:10" x14ac:dyDescent="0.35">
      <c r="D29" s="3"/>
      <c r="E29" s="5"/>
      <c r="F29" s="5"/>
    </row>
    <row r="30" spans="3:10" x14ac:dyDescent="0.35">
      <c r="D30" s="3"/>
      <c r="E30" s="5"/>
      <c r="F30" s="5"/>
    </row>
    <row r="31" spans="3:10" x14ac:dyDescent="0.35">
      <c r="D31" s="3"/>
      <c r="E31" s="5"/>
      <c r="F31" s="5"/>
    </row>
    <row r="32" spans="3:10" x14ac:dyDescent="0.35">
      <c r="D32" s="3"/>
      <c r="E32" s="5"/>
      <c r="F32" s="5"/>
    </row>
    <row r="33" spans="4:6" x14ac:dyDescent="0.35">
      <c r="D33" s="3"/>
      <c r="E33" s="5"/>
      <c r="F33" s="5"/>
    </row>
    <row r="34" spans="4:6" x14ac:dyDescent="0.35">
      <c r="D34" s="3"/>
      <c r="E34" s="5"/>
      <c r="F34" s="5"/>
    </row>
    <row r="35" spans="4:6" x14ac:dyDescent="0.35">
      <c r="D35" s="3"/>
      <c r="E35" s="5"/>
      <c r="F35" s="5"/>
    </row>
    <row r="36" spans="4:6" x14ac:dyDescent="0.35">
      <c r="D36" s="3"/>
      <c r="E36" s="5"/>
      <c r="F3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F273-7F53-487F-8180-18C0890221C0}">
  <dimension ref="C2:P18"/>
  <sheetViews>
    <sheetView showGridLines="0" zoomScale="92" zoomScaleNormal="130" workbookViewId="0">
      <selection activeCell="G22" sqref="G22"/>
    </sheetView>
  </sheetViews>
  <sheetFormatPr defaultRowHeight="14.5" x14ac:dyDescent="0.35"/>
  <cols>
    <col min="3" max="3" width="9.08984375" bestFit="1" customWidth="1"/>
    <col min="4" max="4" width="12" bestFit="1" customWidth="1"/>
    <col min="5" max="9" width="10.36328125" bestFit="1" customWidth="1"/>
    <col min="10" max="10" width="11" bestFit="1" customWidth="1"/>
    <col min="11" max="16" width="10.36328125" bestFit="1" customWidth="1"/>
  </cols>
  <sheetData>
    <row r="2" spans="3:16" x14ac:dyDescent="0.35">
      <c r="C2" t="s">
        <v>17</v>
      </c>
    </row>
    <row r="3" spans="3:16" x14ac:dyDescent="0.35">
      <c r="C3" s="1" t="s">
        <v>0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spans="3:16" x14ac:dyDescent="0.35">
      <c r="C4" s="1" t="s">
        <v>1</v>
      </c>
      <c r="D4" s="3">
        <v>1190</v>
      </c>
      <c r="E4" s="3">
        <v>1334</v>
      </c>
      <c r="F4" s="3">
        <v>1631</v>
      </c>
      <c r="G4" s="3">
        <v>1163</v>
      </c>
      <c r="H4" s="3">
        <v>1454</v>
      </c>
      <c r="I4" s="3">
        <v>1263</v>
      </c>
      <c r="J4" s="3">
        <v>1767</v>
      </c>
      <c r="K4" s="3">
        <v>1666</v>
      </c>
      <c r="L4" s="3">
        <v>1255</v>
      </c>
      <c r="M4" s="3">
        <v>1352</v>
      </c>
      <c r="N4" s="3">
        <v>1512</v>
      </c>
      <c r="O4" s="3">
        <v>1120</v>
      </c>
      <c r="P4" s="3">
        <v>1927</v>
      </c>
    </row>
    <row r="5" spans="3:16" x14ac:dyDescent="0.35">
      <c r="C5" s="1" t="s">
        <v>3</v>
      </c>
      <c r="D5" s="5">
        <v>919738</v>
      </c>
      <c r="E5" s="5">
        <v>868450</v>
      </c>
      <c r="F5" s="5">
        <v>970292</v>
      </c>
      <c r="G5" s="5">
        <v>974125</v>
      </c>
      <c r="H5" s="5">
        <v>995086</v>
      </c>
      <c r="I5" s="5">
        <v>996563</v>
      </c>
      <c r="J5" s="5">
        <v>747511</v>
      </c>
      <c r="K5" s="5">
        <v>735280</v>
      </c>
      <c r="L5" s="5">
        <v>764439</v>
      </c>
      <c r="M5" s="5">
        <v>917987</v>
      </c>
      <c r="N5" s="5">
        <v>778095</v>
      </c>
      <c r="O5" s="5">
        <v>963652</v>
      </c>
      <c r="P5" s="5">
        <v>709624</v>
      </c>
    </row>
    <row r="6" spans="3:16" x14ac:dyDescent="0.35">
      <c r="C6" s="1" t="s">
        <v>2</v>
      </c>
      <c r="D6" s="5">
        <v>206941.05000000002</v>
      </c>
      <c r="E6" s="5">
        <v>195401.25</v>
      </c>
      <c r="F6" s="5">
        <v>218315.7</v>
      </c>
      <c r="G6" s="5">
        <v>219178.125</v>
      </c>
      <c r="H6" s="5">
        <v>223894.35</v>
      </c>
      <c r="I6" s="5">
        <v>224226.67500000002</v>
      </c>
      <c r="J6" s="7">
        <v>168189.97500000001</v>
      </c>
      <c r="K6" s="5">
        <v>165438</v>
      </c>
      <c r="L6" s="5">
        <v>171998.77499999999</v>
      </c>
      <c r="M6" s="5">
        <v>206547.07500000001</v>
      </c>
      <c r="N6" s="5">
        <v>175071.375</v>
      </c>
      <c r="O6" s="5">
        <v>216821.7</v>
      </c>
      <c r="P6" s="5">
        <v>159665.4</v>
      </c>
    </row>
    <row r="8" spans="3:16" x14ac:dyDescent="0.35">
      <c r="C8" s="1" t="s">
        <v>0</v>
      </c>
      <c r="D8" s="1" t="s">
        <v>2</v>
      </c>
    </row>
    <row r="9" spans="3:16" x14ac:dyDescent="0.35">
      <c r="D9" s="5"/>
    </row>
    <row r="10" spans="3:16" x14ac:dyDescent="0.35">
      <c r="D10" s="6"/>
    </row>
    <row r="11" spans="3:16" x14ac:dyDescent="0.35">
      <c r="C11" s="9" t="s">
        <v>4</v>
      </c>
      <c r="D11">
        <f>HLOOKUP(C11,$C$3:$P$6,MATCH(D$8,$C$3:$C$6,0),FALSE)</f>
        <v>206941.05000000002</v>
      </c>
    </row>
    <row r="12" spans="3:16" x14ac:dyDescent="0.35">
      <c r="C12" s="9" t="s">
        <v>11</v>
      </c>
      <c r="D12">
        <f t="shared" ref="D12:D18" si="0">HLOOKUP(C12,$C$3:$P$6,MATCH(D$8,$C$3:$C$6,0),FALSE)</f>
        <v>165438</v>
      </c>
    </row>
    <row r="13" spans="3:16" x14ac:dyDescent="0.35">
      <c r="C13" s="9"/>
      <c r="D13" t="e">
        <f t="shared" si="0"/>
        <v>#N/A</v>
      </c>
    </row>
    <row r="14" spans="3:16" x14ac:dyDescent="0.35">
      <c r="C14" s="9" t="s">
        <v>13</v>
      </c>
      <c r="D14">
        <f t="shared" si="0"/>
        <v>206547.07500000001</v>
      </c>
    </row>
    <row r="15" spans="3:16" x14ac:dyDescent="0.35">
      <c r="C15" s="9" t="s">
        <v>15</v>
      </c>
      <c r="D15">
        <f t="shared" si="0"/>
        <v>216821.7</v>
      </c>
    </row>
    <row r="16" spans="3:16" x14ac:dyDescent="0.35">
      <c r="C16" s="9" t="s">
        <v>8</v>
      </c>
      <c r="D16">
        <f t="shared" si="0"/>
        <v>223894.35</v>
      </c>
    </row>
    <row r="17" spans="3:4" x14ac:dyDescent="0.35">
      <c r="C17" s="9" t="s">
        <v>10</v>
      </c>
      <c r="D17">
        <f t="shared" si="0"/>
        <v>168189.97500000001</v>
      </c>
    </row>
    <row r="18" spans="3:4" x14ac:dyDescent="0.35">
      <c r="C18" s="9" t="s">
        <v>12</v>
      </c>
      <c r="D18">
        <f t="shared" si="0"/>
        <v>171998.77499999999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Verma</dc:creator>
  <cp:lastModifiedBy>Prakritti Jha</cp:lastModifiedBy>
  <dcterms:created xsi:type="dcterms:W3CDTF">2023-10-11T06:57:07Z</dcterms:created>
  <dcterms:modified xsi:type="dcterms:W3CDTF">2026-08-18T18:47:27Z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{FA3B27F2-9E52-40A5-BB57-C126BF0D8EE9}</vt:lpwstr>
  </property>
</Properties>
</file>